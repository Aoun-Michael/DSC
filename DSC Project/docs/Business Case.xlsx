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ria-my.sharepoint.com/personal/pedro_roman2_soprasteria_com/Documents/Documents/Projects/IESEG/IESEG 2025/Theory/session 5/"/>
    </mc:Choice>
  </mc:AlternateContent>
  <xr:revisionPtr revIDLastSave="3" documentId="13_ncr:1_{0F92255E-F577-4F60-81B3-5810FE8499B9}" xr6:coauthVersionLast="47" xr6:coauthVersionMax="47" xr10:uidLastSave="{91B57030-94BF-44D8-87AA-41FEBCCA4A52}"/>
  <bookViews>
    <workbookView xWindow="-108" yWindow="-108" windowWidth="23256" windowHeight="12456" xr2:uid="{E50E954C-D074-4F74-9CE3-2B5D1B569E6F}"/>
  </bookViews>
  <sheets>
    <sheet name="Example Joo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J21" i="2"/>
  <c r="J15" i="2"/>
  <c r="J11" i="2"/>
  <c r="I11" i="2"/>
  <c r="H11" i="2"/>
  <c r="I15" i="2"/>
  <c r="L15" i="2" l="1"/>
  <c r="H13" i="2"/>
  <c r="J13" i="2" s="1"/>
  <c r="K13" i="2" s="1"/>
  <c r="H12" i="2"/>
  <c r="J12" i="2" s="1"/>
  <c r="K12" i="2" s="1"/>
  <c r="I21" i="2"/>
  <c r="I24" i="2"/>
  <c r="I13" i="2"/>
  <c r="H22" i="2"/>
  <c r="J22" i="2" s="1"/>
  <c r="K22" i="2" s="1"/>
  <c r="H23" i="2"/>
  <c r="J23" i="2" s="1"/>
  <c r="K23" i="2" s="1"/>
  <c r="E6" i="2"/>
  <c r="F11" i="2" s="1"/>
  <c r="H20" i="2"/>
  <c r="J20" i="2" s="1"/>
  <c r="K20" i="2" s="1"/>
  <c r="I12" i="2"/>
  <c r="H15" i="2"/>
  <c r="K15" i="2" s="1"/>
  <c r="H24" i="2"/>
  <c r="J24" i="2" s="1"/>
  <c r="K24" i="2" s="1"/>
  <c r="I20" i="2"/>
  <c r="I22" i="2"/>
  <c r="I23" i="2"/>
  <c r="I14" i="2"/>
  <c r="H21" i="2"/>
  <c r="K21" i="2" s="1"/>
  <c r="H14" i="2"/>
  <c r="J14" i="2" s="1"/>
  <c r="K14" i="2" s="1"/>
  <c r="L11" i="2" l="1"/>
  <c r="L23" i="2"/>
  <c r="L22" i="2"/>
  <c r="L21" i="2"/>
  <c r="L14" i="2"/>
  <c r="L24" i="2"/>
  <c r="L20" i="2"/>
  <c r="F15" i="2"/>
  <c r="F13" i="2"/>
  <c r="L13" i="2" s="1"/>
  <c r="F12" i="2"/>
  <c r="L12" i="2" s="1"/>
  <c r="F14" i="2"/>
</calcChain>
</file>

<file path=xl/sharedStrings.xml><?xml version="1.0" encoding="utf-8"?>
<sst xmlns="http://schemas.openxmlformats.org/spreadsheetml/2006/main" count="26" uniqueCount="21">
  <si>
    <t>Cost of contacting</t>
  </si>
  <si>
    <t>euro</t>
  </si>
  <si>
    <t>Profit subscribing</t>
  </si>
  <si>
    <t>10 + 4*30 euro</t>
  </si>
  <si>
    <t>(5*30) - 20</t>
  </si>
  <si>
    <t>Amount of customers</t>
  </si>
  <si>
    <t>Overall incidence</t>
  </si>
  <si>
    <t>all churners</t>
  </si>
  <si>
    <t>MODEL</t>
  </si>
  <si>
    <t>With model</t>
  </si>
  <si>
    <t>Fraction of people contacted</t>
  </si>
  <si>
    <t>Cumulative response</t>
  </si>
  <si>
    <t>Cumulative gain</t>
  </si>
  <si>
    <t>num contacted</t>
  </si>
  <si>
    <t>num new customers</t>
  </si>
  <si>
    <t>Revenue Model</t>
  </si>
  <si>
    <t>Profit Model</t>
  </si>
  <si>
    <t>Random selection</t>
  </si>
  <si>
    <t>num churners</t>
  </si>
  <si>
    <t>Revenu Random</t>
  </si>
  <si>
    <t>Profit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</si>
</sst>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5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wrapText="1"/>
    </xf>
    <xf numFmtId="0" fontId="1" fillId="0" borderId="7" xfId="0" applyFont="1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9" xfId="0" applyNumberFormat="1" applyBorder="1"/>
    <xf numFmtId="2" fontId="0" fillId="0" borderId="10" xfId="0" applyNumberFormat="1" applyBorder="1"/>
    <xf numFmtId="164" fontId="0" fillId="0" borderId="12" xfId="0" applyNumberFormat="1" applyBorder="1"/>
    <xf numFmtId="0" fontId="0" fillId="0" borderId="13" xfId="0" applyBorder="1"/>
    <xf numFmtId="0" fontId="0" fillId="0" borderId="14" xfId="0" applyBorder="1"/>
    <xf numFmtId="164" fontId="0" fillId="0" borderId="15" xfId="0" applyNumberFormat="1" applyBorder="1"/>
    <xf numFmtId="0" fontId="0" fillId="0" borderId="16" xfId="0" applyBorder="1"/>
    <xf numFmtId="2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4" xfId="0" applyBorder="1"/>
    <xf numFmtId="0" fontId="0" fillId="0" borderId="1" xfId="0" applyBorder="1"/>
    <xf numFmtId="0" fontId="0" fillId="0" borderId="3" xfId="0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Outcomes Using Predictive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Joost'!$K$10</c:f>
              <c:strCache>
                <c:ptCount val="1"/>
                <c:pt idx="0">
                  <c:v>Revenue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40000</c:v>
                </c:pt>
                <c:pt idx="1">
                  <c:v>80000</c:v>
                </c:pt>
                <c:pt idx="2">
                  <c:v>120000</c:v>
                </c:pt>
                <c:pt idx="3">
                  <c:v>160000</c:v>
                </c:pt>
                <c:pt idx="4">
                  <c:v>200000</c:v>
                </c:pt>
              </c:numCache>
            </c:numRef>
          </c:cat>
          <c:val>
            <c:numRef>
              <c:f>'Example Joost'!$K$11:$K$15</c:f>
              <c:numCache>
                <c:formatCode>General</c:formatCode>
                <c:ptCount val="5"/>
                <c:pt idx="0">
                  <c:v>3692000</c:v>
                </c:pt>
                <c:pt idx="1">
                  <c:v>5927999.9999999991</c:v>
                </c:pt>
                <c:pt idx="2">
                  <c:v>7488000</c:v>
                </c:pt>
                <c:pt idx="3">
                  <c:v>7696000</c:v>
                </c:pt>
                <c:pt idx="4">
                  <c:v>7800000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D-4069-B4D8-9AA1844F8660}"/>
            </c:ext>
          </c:extLst>
        </c:ser>
        <c:ser>
          <c:idx val="1"/>
          <c:order val="1"/>
          <c:tx>
            <c:strRef>
              <c:f>'Example Joost'!$I$10</c:f>
              <c:strCache>
                <c:ptCount val="1"/>
                <c:pt idx="0">
                  <c:v>Cost of contacting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40000</c:v>
                </c:pt>
                <c:pt idx="1">
                  <c:v>80000</c:v>
                </c:pt>
                <c:pt idx="2">
                  <c:v>120000</c:v>
                </c:pt>
                <c:pt idx="3">
                  <c:v>160000</c:v>
                </c:pt>
                <c:pt idx="4">
                  <c:v>200000</c:v>
                </c:pt>
              </c:numCache>
            </c:numRef>
          </c:cat>
          <c:val>
            <c:numRef>
              <c:f>'Example Joost'!$I$11:$I$15</c:f>
              <c:numCache>
                <c:formatCode>General</c:formatCode>
                <c:ptCount val="5"/>
                <c:pt idx="0">
                  <c:v>600000</c:v>
                </c:pt>
                <c:pt idx="1">
                  <c:v>1200000</c:v>
                </c:pt>
                <c:pt idx="2">
                  <c:v>1800000</c:v>
                </c:pt>
                <c:pt idx="3">
                  <c:v>2400000</c:v>
                </c:pt>
                <c:pt idx="4">
                  <c:v>3000000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D-4069-B4D8-9AA1844F8660}"/>
            </c:ext>
          </c:extLst>
        </c:ser>
        <c:ser>
          <c:idx val="2"/>
          <c:order val="2"/>
          <c:tx>
            <c:strRef>
              <c:f>'Example Joost'!$L$10</c:f>
              <c:strCache>
                <c:ptCount val="1"/>
                <c:pt idx="0">
                  <c:v>Profit Model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40000</c:v>
                </c:pt>
                <c:pt idx="1">
                  <c:v>80000</c:v>
                </c:pt>
                <c:pt idx="2">
                  <c:v>120000</c:v>
                </c:pt>
                <c:pt idx="3">
                  <c:v>160000</c:v>
                </c:pt>
                <c:pt idx="4">
                  <c:v>200000</c:v>
                </c:pt>
              </c:numCache>
            </c:numRef>
          </c:cat>
          <c:val>
            <c:numRef>
              <c:f>'Example Joost'!$L$11:$L$15</c:f>
              <c:numCache>
                <c:formatCode>General</c:formatCode>
                <c:ptCount val="5"/>
                <c:pt idx="0">
                  <c:v>3092000</c:v>
                </c:pt>
                <c:pt idx="1">
                  <c:v>4727999.9999999991</c:v>
                </c:pt>
                <c:pt idx="2">
                  <c:v>5688000</c:v>
                </c:pt>
                <c:pt idx="3">
                  <c:v>5296000</c:v>
                </c:pt>
                <c:pt idx="4">
                  <c:v>4800000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D-4069-B4D8-9AA1844F8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425827807"/>
        <c:axId val="425826975"/>
      </c:lineChart>
      <c:catAx>
        <c:axId val="42582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Number of customers contacted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6975"/>
        <c:crosses val="autoZero"/>
        <c:auto val="1"/>
        <c:lblAlgn val="ctr"/>
        <c:lblOffset val="100"/>
        <c:noMultiLvlLbl val="0"/>
      </c:catAx>
      <c:valAx>
        <c:axId val="425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Outcomes BAU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Joost'!$K$19</c:f>
              <c:strCache>
                <c:ptCount val="1"/>
                <c:pt idx="0">
                  <c:v>Revenu 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40000</c:v>
                </c:pt>
                <c:pt idx="1">
                  <c:v>80000</c:v>
                </c:pt>
                <c:pt idx="2">
                  <c:v>120000</c:v>
                </c:pt>
                <c:pt idx="3">
                  <c:v>160000</c:v>
                </c:pt>
                <c:pt idx="4">
                  <c:v>200000</c:v>
                </c:pt>
              </c:numCache>
            </c:numRef>
          </c:cat>
          <c:val>
            <c:numRef>
              <c:f>'Example Joost'!$K$20:$K$24</c:f>
              <c:numCache>
                <c:formatCode>General</c:formatCode>
                <c:ptCount val="5"/>
                <c:pt idx="0">
                  <c:v>1560000</c:v>
                </c:pt>
                <c:pt idx="1">
                  <c:v>3120000</c:v>
                </c:pt>
                <c:pt idx="2">
                  <c:v>4680000</c:v>
                </c:pt>
                <c:pt idx="3">
                  <c:v>6240000</c:v>
                </c:pt>
                <c:pt idx="4">
                  <c:v>7800000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1-4051-AEE3-FEE8E0B83F29}"/>
            </c:ext>
          </c:extLst>
        </c:ser>
        <c:ser>
          <c:idx val="1"/>
          <c:order val="1"/>
          <c:tx>
            <c:strRef>
              <c:f>'Example Joost'!$I$19</c:f>
              <c:strCache>
                <c:ptCount val="1"/>
                <c:pt idx="0">
                  <c:v>Cost of contacting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40000</c:v>
                </c:pt>
                <c:pt idx="1">
                  <c:v>80000</c:v>
                </c:pt>
                <c:pt idx="2">
                  <c:v>120000</c:v>
                </c:pt>
                <c:pt idx="3">
                  <c:v>160000</c:v>
                </c:pt>
                <c:pt idx="4">
                  <c:v>200000</c:v>
                </c:pt>
              </c:numCache>
            </c:numRef>
          </c:cat>
          <c:val>
            <c:numRef>
              <c:f>'Example Joost'!$I$20:$I$24</c:f>
              <c:numCache>
                <c:formatCode>General</c:formatCode>
                <c:ptCount val="5"/>
                <c:pt idx="0">
                  <c:v>600000</c:v>
                </c:pt>
                <c:pt idx="1">
                  <c:v>1200000</c:v>
                </c:pt>
                <c:pt idx="2">
                  <c:v>1800000</c:v>
                </c:pt>
                <c:pt idx="3">
                  <c:v>2400000</c:v>
                </c:pt>
                <c:pt idx="4">
                  <c:v>3000000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1-4051-AEE3-FEE8E0B83F29}"/>
            </c:ext>
          </c:extLst>
        </c:ser>
        <c:ser>
          <c:idx val="2"/>
          <c:order val="2"/>
          <c:tx>
            <c:strRef>
              <c:f>'Example Joost'!$L$19</c:f>
              <c:strCache>
                <c:ptCount val="1"/>
                <c:pt idx="0">
                  <c:v>Profit Random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40000</c:v>
                </c:pt>
                <c:pt idx="1">
                  <c:v>80000</c:v>
                </c:pt>
                <c:pt idx="2">
                  <c:v>120000</c:v>
                </c:pt>
                <c:pt idx="3">
                  <c:v>160000</c:v>
                </c:pt>
                <c:pt idx="4">
                  <c:v>200000</c:v>
                </c:pt>
              </c:numCache>
            </c:numRef>
          </c:cat>
          <c:val>
            <c:numRef>
              <c:f>'Example Joost'!$L$20:$L$24</c:f>
              <c:numCache>
                <c:formatCode>General</c:formatCode>
                <c:ptCount val="5"/>
                <c:pt idx="0">
                  <c:v>960000</c:v>
                </c:pt>
                <c:pt idx="1">
                  <c:v>1920000</c:v>
                </c:pt>
                <c:pt idx="2">
                  <c:v>2880000</c:v>
                </c:pt>
                <c:pt idx="3">
                  <c:v>3840000</c:v>
                </c:pt>
                <c:pt idx="4">
                  <c:v>4800000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1-4051-AEE3-FEE8E0B83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425827807"/>
        <c:axId val="425826975"/>
      </c:lineChart>
      <c:catAx>
        <c:axId val="42582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Number of customers contacted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6975"/>
        <c:crosses val="autoZero"/>
        <c:auto val="1"/>
        <c:lblAlgn val="ctr"/>
        <c:lblOffset val="100"/>
        <c:noMultiLvlLbl val="0"/>
      </c:catAx>
      <c:valAx>
        <c:axId val="425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Outcomes Using Predictive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'Example Joost'!$L$10</c:f>
              <c:strCache>
                <c:ptCount val="1"/>
                <c:pt idx="0">
                  <c:v>Profit Model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40000</c:v>
                </c:pt>
                <c:pt idx="1">
                  <c:v>80000</c:v>
                </c:pt>
                <c:pt idx="2">
                  <c:v>120000</c:v>
                </c:pt>
                <c:pt idx="3">
                  <c:v>160000</c:v>
                </c:pt>
                <c:pt idx="4">
                  <c:v>200000</c:v>
                </c:pt>
              </c:numCache>
            </c:numRef>
          </c:cat>
          <c:val>
            <c:numRef>
              <c:f>'Example Joost'!$L$11:$L$15</c:f>
              <c:numCache>
                <c:formatCode>General</c:formatCode>
                <c:ptCount val="5"/>
                <c:pt idx="0">
                  <c:v>3092000</c:v>
                </c:pt>
                <c:pt idx="1">
                  <c:v>4727999.9999999991</c:v>
                </c:pt>
                <c:pt idx="2">
                  <c:v>5688000</c:v>
                </c:pt>
                <c:pt idx="3">
                  <c:v>5296000</c:v>
                </c:pt>
                <c:pt idx="4">
                  <c:v>4800000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6-4E9E-A956-4C99E3152ADD}"/>
            </c:ext>
          </c:extLst>
        </c:ser>
        <c:ser>
          <c:idx val="0"/>
          <c:order val="1"/>
          <c:tx>
            <c:strRef>
              <c:f>'Example Joost'!$L$19</c:f>
              <c:strCache>
                <c:ptCount val="1"/>
                <c:pt idx="0">
                  <c:v>Profit Random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'Example Joost'!$L$20:$L$24</c:f>
              <c:numCache>
                <c:formatCode>General</c:formatCode>
                <c:ptCount val="5"/>
                <c:pt idx="0">
                  <c:v>960000</c:v>
                </c:pt>
                <c:pt idx="1">
                  <c:v>1920000</c:v>
                </c:pt>
                <c:pt idx="2">
                  <c:v>2880000</c:v>
                </c:pt>
                <c:pt idx="3">
                  <c:v>3840000</c:v>
                </c:pt>
                <c:pt idx="4">
                  <c:v>4800000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6-4E9E-A956-4C99E3152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425827807"/>
        <c:axId val="425826975"/>
      </c:lineChart>
      <c:catAx>
        <c:axId val="42582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Number of customers contacted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6975"/>
        <c:crosses val="autoZero"/>
        <c:auto val="1"/>
        <c:lblAlgn val="ctr"/>
        <c:lblOffset val="100"/>
        <c:noMultiLvlLbl val="0"/>
      </c:catAx>
      <c:valAx>
        <c:axId val="425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Profit (EUR)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366183</xdr:colOff>
      <xdr:row>1</xdr:row>
      <xdr:rowOff>693207</xdr:rowOff>
    </xdr:from>
    <xdr:to>
      <xdr:col>21</xdr:col>
      <xdr:colOff>27516</xdr:colOff>
      <xdr:row>14</xdr:row>
      <xdr:rowOff>164041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29A79-581E-FF0B-54AA-55FE45D81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357909</xdr:colOff>
      <xdr:row>15</xdr:row>
      <xdr:rowOff>138546</xdr:rowOff>
    </xdr:from>
    <xdr:to>
      <xdr:col>21</xdr:col>
      <xdr:colOff>19242</xdr:colOff>
      <xdr:row>30</xdr:row>
      <xdr:rowOff>175108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3A2949-D3D6-4814-8FFA-CCB0D4CE7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461818</xdr:colOff>
      <xdr:row>5</xdr:row>
      <xdr:rowOff>103909</xdr:rowOff>
    </xdr:from>
    <xdr:to>
      <xdr:col>29</xdr:col>
      <xdr:colOff>123152</xdr:colOff>
      <xdr:row>20</xdr:row>
      <xdr:rowOff>117380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66A425-22B0-485A-A2F6-84D984985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7E1D-872F-4393-81D3-42B12B2503DE}">
  <dimension ref="A1:O24"/>
  <sheetViews>
    <sheetView tabSelected="1" topLeftCell="J2" zoomScale="126" zoomScaleNormal="126" workbookViewId="0">
      <selection activeCell="K28" sqref="K28"/>
    </sheetView>
  </sheetViews>
  <sheetFormatPr defaultRowHeight="14.4" x14ac:dyDescent="0.3"/>
  <cols>
    <col min="1" max="1" width="25.5546875" customWidth="1"/>
    <col min="4" max="4" width="24.88671875" bestFit="1" customWidth="1"/>
    <col min="5" max="5" width="23.44140625" customWidth="1"/>
    <col min="6" max="6" width="14" bestFit="1" customWidth="1"/>
    <col min="7" max="7" width="14" customWidth="1"/>
    <col min="8" max="8" width="20.6640625" customWidth="1"/>
    <col min="9" max="9" width="17.5546875" customWidth="1"/>
    <col min="10" max="10" width="20.33203125" customWidth="1"/>
    <col min="11" max="11" width="11" bestFit="1" customWidth="1"/>
    <col min="12" max="12" width="15.6640625" bestFit="1" customWidth="1"/>
  </cols>
  <sheetData>
    <row r="1" spans="1:15" x14ac:dyDescent="0.3">
      <c r="E1" s="5"/>
      <c r="F1" s="5"/>
      <c r="G1" s="5"/>
      <c r="H1" s="5"/>
      <c r="I1" s="5"/>
    </row>
    <row r="2" spans="1:15" ht="87.6" customHeight="1" x14ac:dyDescent="0.3">
      <c r="E2" s="36"/>
      <c r="F2" s="36"/>
      <c r="G2" s="36"/>
      <c r="H2" s="36"/>
      <c r="I2" s="36"/>
    </row>
    <row r="3" spans="1:15" x14ac:dyDescent="0.3">
      <c r="A3" t="s">
        <v>0</v>
      </c>
      <c r="B3">
        <v>15</v>
      </c>
      <c r="C3" t="s">
        <v>1</v>
      </c>
      <c r="J3" s="2"/>
      <c r="K3" s="2"/>
      <c r="L3" s="2"/>
    </row>
    <row r="4" spans="1:15" x14ac:dyDescent="0.3">
      <c r="A4" t="s">
        <v>2</v>
      </c>
      <c r="B4">
        <v>130</v>
      </c>
      <c r="C4" t="s">
        <v>1</v>
      </c>
      <c r="D4" t="s">
        <v>3</v>
      </c>
      <c r="E4" t="s">
        <v>4</v>
      </c>
      <c r="I4" s="3"/>
      <c r="J4" s="3"/>
      <c r="K4" s="3"/>
      <c r="L4" s="3"/>
    </row>
    <row r="5" spans="1:15" x14ac:dyDescent="0.3">
      <c r="A5" t="s">
        <v>5</v>
      </c>
      <c r="B5">
        <v>200000</v>
      </c>
      <c r="H5" s="3"/>
      <c r="I5" s="3"/>
      <c r="J5" s="3"/>
      <c r="K5" s="3"/>
      <c r="L5" s="3"/>
    </row>
    <row r="6" spans="1:15" x14ac:dyDescent="0.3">
      <c r="A6" s="1" t="s">
        <v>6</v>
      </c>
      <c r="B6" s="1">
        <v>0.3</v>
      </c>
      <c r="C6" s="1"/>
      <c r="D6" t="s">
        <v>7</v>
      </c>
      <c r="E6">
        <f>B5*B6</f>
        <v>60000</v>
      </c>
      <c r="I6" s="3"/>
      <c r="J6" s="3"/>
      <c r="K6" s="3"/>
      <c r="L6" s="3"/>
    </row>
    <row r="8" spans="1:15" ht="15" thickBot="1" x14ac:dyDescent="0.35"/>
    <row r="9" spans="1:15" x14ac:dyDescent="0.3">
      <c r="D9" s="31" t="s">
        <v>8</v>
      </c>
      <c r="E9" s="32"/>
      <c r="F9" s="32"/>
      <c r="G9" s="6"/>
      <c r="H9" s="7"/>
      <c r="I9" s="33" t="s">
        <v>9</v>
      </c>
      <c r="J9" s="33"/>
      <c r="K9" s="8"/>
      <c r="L9" s="9"/>
      <c r="M9" s="34"/>
      <c r="N9" s="34"/>
      <c r="O9" s="34"/>
    </row>
    <row r="10" spans="1:15" x14ac:dyDescent="0.3">
      <c r="D10" s="10" t="s">
        <v>10</v>
      </c>
      <c r="E10" s="11" t="s">
        <v>11</v>
      </c>
      <c r="F10" s="11" t="s">
        <v>12</v>
      </c>
      <c r="G10" s="11"/>
      <c r="H10" s="11" t="s">
        <v>13</v>
      </c>
      <c r="I10" s="11" t="s">
        <v>0</v>
      </c>
      <c r="J10" s="11" t="s">
        <v>14</v>
      </c>
      <c r="K10" s="11" t="s">
        <v>15</v>
      </c>
      <c r="L10" s="12" t="s">
        <v>16</v>
      </c>
    </row>
    <row r="11" spans="1:15" x14ac:dyDescent="0.3">
      <c r="D11" s="13">
        <v>0.2</v>
      </c>
      <c r="E11" s="11">
        <v>0.71</v>
      </c>
      <c r="F11" s="14">
        <f>J11/$E$6</f>
        <v>0.47333333333333333</v>
      </c>
      <c r="G11" s="11"/>
      <c r="H11" s="11">
        <f>D11*$B$5</f>
        <v>40000</v>
      </c>
      <c r="I11" s="11">
        <f>(D11*$B$5)*$B$3</f>
        <v>600000</v>
      </c>
      <c r="J11" s="11">
        <f>E11*H11</f>
        <v>28400</v>
      </c>
      <c r="K11" s="11">
        <f>J11*$B$4</f>
        <v>3692000</v>
      </c>
      <c r="L11" s="12">
        <f>K11-I11</f>
        <v>3092000</v>
      </c>
    </row>
    <row r="12" spans="1:15" x14ac:dyDescent="0.3">
      <c r="D12" s="13">
        <v>0.4</v>
      </c>
      <c r="E12" s="11">
        <v>0.56999999999999995</v>
      </c>
      <c r="F12" s="14">
        <f>J12/$E$6</f>
        <v>0.7599999999999999</v>
      </c>
      <c r="G12" s="11"/>
      <c r="H12" s="11">
        <f t="shared" ref="H12:H15" si="0">D12*$B$5</f>
        <v>80000</v>
      </c>
      <c r="I12" s="11">
        <f>(D12*$B$5)*$B$3</f>
        <v>1200000</v>
      </c>
      <c r="J12" s="11">
        <f>E12*H12</f>
        <v>45599.999999999993</v>
      </c>
      <c r="K12" s="11">
        <f t="shared" ref="K12:K14" si="1">J12*$B$4</f>
        <v>5927999.9999999991</v>
      </c>
      <c r="L12" s="12">
        <f>K12-I12</f>
        <v>4727999.9999999991</v>
      </c>
    </row>
    <row r="13" spans="1:15" x14ac:dyDescent="0.3">
      <c r="D13" s="13">
        <v>0.6</v>
      </c>
      <c r="E13" s="11">
        <v>0.48</v>
      </c>
      <c r="F13" s="14">
        <f>J13/$E$6</f>
        <v>0.96</v>
      </c>
      <c r="G13" s="11"/>
      <c r="H13" s="11">
        <f t="shared" si="0"/>
        <v>120000</v>
      </c>
      <c r="I13" s="11">
        <f>(D13*$B$5)*$B$3</f>
        <v>1800000</v>
      </c>
      <c r="J13" s="11">
        <f>E13*H13</f>
        <v>57600</v>
      </c>
      <c r="K13" s="11">
        <f t="shared" si="1"/>
        <v>7488000</v>
      </c>
      <c r="L13" s="12">
        <f>K13-I13</f>
        <v>5688000</v>
      </c>
    </row>
    <row r="14" spans="1:15" x14ac:dyDescent="0.3">
      <c r="D14" s="13">
        <v>0.8</v>
      </c>
      <c r="E14" s="11">
        <v>0.37</v>
      </c>
      <c r="F14" s="14">
        <f>J14/$E$6</f>
        <v>0.98666666666666669</v>
      </c>
      <c r="G14" s="11"/>
      <c r="H14" s="11">
        <f t="shared" si="0"/>
        <v>160000</v>
      </c>
      <c r="I14" s="11">
        <f>(D14*$B$5)*$B$3</f>
        <v>2400000</v>
      </c>
      <c r="J14" s="11">
        <f>E14*H14</f>
        <v>59200</v>
      </c>
      <c r="K14" s="11">
        <f t="shared" si="1"/>
        <v>7696000</v>
      </c>
      <c r="L14" s="12">
        <f>K14-I14</f>
        <v>5296000</v>
      </c>
    </row>
    <row r="15" spans="1:15" ht="15" thickBot="1" x14ac:dyDescent="0.35">
      <c r="D15" s="18">
        <v>1</v>
      </c>
      <c r="E15" s="19">
        <v>0.3</v>
      </c>
      <c r="F15" s="20">
        <f>J15/$E$6</f>
        <v>1</v>
      </c>
      <c r="G15" s="19"/>
      <c r="H15" s="19">
        <f t="shared" si="0"/>
        <v>200000</v>
      </c>
      <c r="I15" s="19">
        <f>(D15*$B$5)*$B$3</f>
        <v>3000000</v>
      </c>
      <c r="J15" s="19">
        <f>E15*H15</f>
        <v>60000</v>
      </c>
      <c r="K15" s="19">
        <f>J15*$B$4</f>
        <v>7800000</v>
      </c>
      <c r="L15" s="21">
        <f>K15-I15</f>
        <v>4800000</v>
      </c>
    </row>
    <row r="16" spans="1:15" x14ac:dyDescent="0.3">
      <c r="D16" s="26"/>
      <c r="E16" s="27"/>
      <c r="F16" s="27"/>
      <c r="G16" s="27"/>
      <c r="H16" s="27"/>
      <c r="I16" s="27"/>
      <c r="J16" s="27"/>
      <c r="K16" s="27"/>
      <c r="L16" s="28"/>
    </row>
    <row r="17" spans="4:12" ht="15" thickBot="1" x14ac:dyDescent="0.35">
      <c r="D17" s="29"/>
      <c r="E17" s="4"/>
      <c r="F17" s="4"/>
      <c r="G17" s="4"/>
      <c r="H17" s="4"/>
      <c r="I17" s="4"/>
      <c r="J17" s="4"/>
      <c r="K17" s="4"/>
      <c r="L17" s="30"/>
    </row>
    <row r="18" spans="4:12" x14ac:dyDescent="0.3">
      <c r="D18" s="22"/>
      <c r="E18" s="23"/>
      <c r="F18" s="23"/>
      <c r="G18" s="23"/>
      <c r="H18" s="23"/>
      <c r="I18" s="35" t="s">
        <v>17</v>
      </c>
      <c r="J18" s="35"/>
      <c r="K18" s="24"/>
      <c r="L18" s="25"/>
    </row>
    <row r="19" spans="4:12" x14ac:dyDescent="0.3">
      <c r="D19" s="10" t="s">
        <v>10</v>
      </c>
      <c r="E19" s="11"/>
      <c r="F19" s="11"/>
      <c r="G19" s="11"/>
      <c r="H19" s="11" t="s">
        <v>13</v>
      </c>
      <c r="I19" s="11" t="s">
        <v>0</v>
      </c>
      <c r="J19" s="11" t="s">
        <v>18</v>
      </c>
      <c r="K19" s="11" t="s">
        <v>19</v>
      </c>
      <c r="L19" s="12" t="s">
        <v>20</v>
      </c>
    </row>
    <row r="20" spans="4:12" x14ac:dyDescent="0.3">
      <c r="D20" s="13">
        <v>0.2</v>
      </c>
      <c r="E20" s="11">
        <v>0.3</v>
      </c>
      <c r="F20" s="11"/>
      <c r="G20" s="11"/>
      <c r="H20" s="11">
        <f>D20*$B$5</f>
        <v>40000</v>
      </c>
      <c r="I20" s="11">
        <f>(D20*$B$5)*$B$3</f>
        <v>600000</v>
      </c>
      <c r="J20" s="11">
        <f>E20*H20</f>
        <v>12000</v>
      </c>
      <c r="K20" s="11">
        <f>J20*$B$4</f>
        <v>1560000</v>
      </c>
      <c r="L20" s="12">
        <f>K20-I20</f>
        <v>960000</v>
      </c>
    </row>
    <row r="21" spans="4:12" x14ac:dyDescent="0.3">
      <c r="D21" s="13">
        <v>0.4</v>
      </c>
      <c r="E21" s="11">
        <v>0.3</v>
      </c>
      <c r="F21" s="11"/>
      <c r="G21" s="11"/>
      <c r="H21" s="11">
        <f t="shared" ref="H21:H24" si="2">D21*$B$5</f>
        <v>80000</v>
      </c>
      <c r="I21" s="11">
        <f>(D21*$B$5)*$B$3</f>
        <v>1200000</v>
      </c>
      <c r="J21" s="11">
        <f>E21*H21</f>
        <v>24000</v>
      </c>
      <c r="K21" s="11">
        <f t="shared" ref="K21:K24" si="3">J21*$B$4</f>
        <v>3120000</v>
      </c>
      <c r="L21" s="12">
        <f>K21-I21</f>
        <v>1920000</v>
      </c>
    </row>
    <row r="22" spans="4:12" x14ac:dyDescent="0.3">
      <c r="D22" s="13">
        <v>0.6</v>
      </c>
      <c r="E22" s="11">
        <v>0.3</v>
      </c>
      <c r="F22" s="11"/>
      <c r="G22" s="11"/>
      <c r="H22" s="11">
        <f t="shared" si="2"/>
        <v>120000</v>
      </c>
      <c r="I22" s="11">
        <f>(D22*$B$5)*$B$3</f>
        <v>1800000</v>
      </c>
      <c r="J22" s="11">
        <f>E22*H22</f>
        <v>36000</v>
      </c>
      <c r="K22" s="11">
        <f t="shared" si="3"/>
        <v>4680000</v>
      </c>
      <c r="L22" s="12">
        <f>K22-I22</f>
        <v>2880000</v>
      </c>
    </row>
    <row r="23" spans="4:12" x14ac:dyDescent="0.3">
      <c r="D23" s="13">
        <v>0.8</v>
      </c>
      <c r="E23" s="11">
        <v>0.3</v>
      </c>
      <c r="F23" s="11"/>
      <c r="G23" s="11"/>
      <c r="H23" s="11">
        <f t="shared" si="2"/>
        <v>160000</v>
      </c>
      <c r="I23" s="11">
        <f>(D23*$B$5)*$B$3</f>
        <v>2400000</v>
      </c>
      <c r="J23" s="11">
        <f>E23*H23</f>
        <v>48000</v>
      </c>
      <c r="K23" s="11">
        <f t="shared" si="3"/>
        <v>6240000</v>
      </c>
      <c r="L23" s="12">
        <f>K23-I23</f>
        <v>3840000</v>
      </c>
    </row>
    <row r="24" spans="4:12" ht="15" thickBot="1" x14ac:dyDescent="0.35">
      <c r="D24" s="15">
        <v>1</v>
      </c>
      <c r="E24" s="16">
        <v>0.3</v>
      </c>
      <c r="F24" s="16"/>
      <c r="G24" s="16"/>
      <c r="H24" s="16">
        <f t="shared" si="2"/>
        <v>200000</v>
      </c>
      <c r="I24" s="16">
        <f>(D24*$B$5)*$B$3</f>
        <v>3000000</v>
      </c>
      <c r="J24" s="16">
        <f>E24*H24</f>
        <v>60000</v>
      </c>
      <c r="K24" s="16">
        <f t="shared" si="3"/>
        <v>7800000</v>
      </c>
      <c r="L24" s="17">
        <f>K24-I24</f>
        <v>4800000</v>
      </c>
    </row>
  </sheetData>
  <mergeCells count="5">
    <mergeCell ref="D9:F9"/>
    <mergeCell ref="I9:J9"/>
    <mergeCell ref="M9:O9"/>
    <mergeCell ref="I18:J18"/>
    <mergeCell ref="E2:I2"/>
  </mergeCells>
  <pageMargins left="0.7" right="0.7" top="0.75" bottom="0.75" header="0.3" footer="0.3"/>
  <pageSetup paperSize="9" orientation="portrait" r:id="rId1"/>
  <headerFooter>
    <oddFooter xml:space="preserve">&amp;L_x000D_&amp;1#&amp;"Tahoma"&amp;9&amp;KCF022B C2 - Restricted use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DEE845ECDEC4088FDF3CB050EA3FE" ma:contentTypeVersion="14" ma:contentTypeDescription="Create a new document." ma:contentTypeScope="" ma:versionID="2bd75be8922f1022b31f85388b975015">
  <xsd:schema xmlns:xsd="http://www.w3.org/2001/XMLSchema" xmlns:xs="http://www.w3.org/2001/XMLSchema" xmlns:p="http://schemas.microsoft.com/office/2006/metadata/properties" xmlns:ns2="269bddb7-d221-45d4-a799-282a4b851cd9" xmlns:ns3="d0a031b7-ad0b-49d6-bf77-fc1f72dae9b8" targetNamespace="http://schemas.microsoft.com/office/2006/metadata/properties" ma:root="true" ma:fieldsID="944dd3faf045876e46b5c6b48d46d33d" ns2:_="" ns3:_="">
    <xsd:import namespace="269bddb7-d221-45d4-a799-282a4b851cd9"/>
    <xsd:import namespace="d0a031b7-ad0b-49d6-bf77-fc1f72dae9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bddb7-d221-45d4-a799-282a4b851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00e2059-5ee7-47e9-8d7c-e5c5b9f97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a031b7-ad0b-49d6-bf77-fc1f72dae9b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e4a7a7-1e38-496a-b8df-56e8db3b1508}" ma:internalName="TaxCatchAll" ma:showField="CatchAllData" ma:web="d0a031b7-ad0b-49d6-bf77-fc1f72dae9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a031b7-ad0b-49d6-bf77-fc1f72dae9b8" xsi:nil="true"/>
    <lcf76f155ced4ddcb4097134ff3c332f xmlns="269bddb7-d221-45d4-a799-282a4b851c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DDAE1B-A669-4660-9B6D-CBA9390CA0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2A4B8C-7D91-4F2B-AF91-C38927261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9bddb7-d221-45d4-a799-282a4b851cd9"/>
    <ds:schemaRef ds:uri="d0a031b7-ad0b-49d6-bf77-fc1f72dae9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79B37C-D283-45D2-A36E-F69E527FFC2D}">
  <ds:schemaRefs>
    <ds:schemaRef ds:uri="http://schemas.microsoft.com/office/2006/metadata/properties"/>
    <ds:schemaRef ds:uri="http://schemas.microsoft.com/office/infopath/2007/PartnerControls"/>
    <ds:schemaRef ds:uri="d0a031b7-ad0b-49d6-bf77-fc1f72dae9b8"/>
    <ds:schemaRef ds:uri="269bddb7-d221-45d4-a799-282a4b851cd9"/>
  </ds:schemaRefs>
</ds:datastoreItem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Joost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Janssens</dc:creator>
  <cp:keywords/>
  <dc:description/>
  <cp:lastModifiedBy>ROMAN INFANTE Pedro</cp:lastModifiedBy>
  <cp:revision/>
  <dcterms:created xsi:type="dcterms:W3CDTF">2021-11-08T15:58:58Z</dcterms:created>
  <dcterms:modified xsi:type="dcterms:W3CDTF">2025-12-03T10:38:24Z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0x01010011CDEE845ECDEC4088FDF3CB050EA3FE</vt:lpwstr>
  </property>
  <property fmtid="{D5CDD505-2E9C-101B-9397-08002B2CF9AE}" pid="3" name="MediaServiceImageTags">
    <vt:lpwstr/>
  </property>
</Properties>
</file>